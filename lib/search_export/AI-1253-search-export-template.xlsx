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180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arches" sheetId="2" state="visible" r:id="rId2"/>
    <sheet xmlns:r="http://schemas.openxmlformats.org/officeDocument/2006/relationships" name="Exampl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'Searches'!$A$2:$AI$1048576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595959"/>
      <sz val="10"/>
    </font>
    <font>
      <name val="Arial"/>
      <i val="1"/>
      <color rgb="FF595959"/>
      <sz val="9"/>
    </font>
    <font>
      <name val="Arial"/>
      <b val="1"/>
      <sz val="14"/>
    </font>
    <font>
      <name val="Arial"/>
      <i val="1"/>
      <sz val="10"/>
    </font>
    <font>
      <name val="Arial"/>
      <b val="1"/>
      <sz val="11"/>
    </font>
    <font>
      <name val="Arial"/>
      <b val="1"/>
      <sz val="10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D966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4" borderId="1" pivotButton="0" quotePrefix="0" xfId="0"/>
    <xf numFmtId="0" fontId="3" fillId="0" borderId="0" pivotButton="0" quotePrefix="0" xfId="0"/>
    <xf numFmtId="0" fontId="9" fillId="5" borderId="1" pivotButton="0" quotePrefix="0" xfId="0"/>
    <xf numFmtId="0" fontId="9" fillId="6" borderId="1" pivotButton="0" quotePrefix="0" xfId="0"/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5" borderId="0" applyAlignment="1" applyProtection="1" pivotButton="0" quotePrefix="0" xfId="0">
      <alignment vertical="top" wrapText="1"/>
      <protection locked="0" hidden="0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3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1" fontId="9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0" pivotButton="0" quotePrefix="0" xfId="0"/>
    <xf numFmtId="0" fontId="1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4"/>
  <sheetViews>
    <sheetView showGridLines="0" workbookViewId="0">
      <selection activeCell="A10" sqref="A10:XFD10"/>
    </sheetView>
  </sheetViews>
  <sheetFormatPr baseColWidth="10" defaultColWidth="8.83203125" defaultRowHeight="15"/>
  <cols>
    <col width="4" customWidth="1" style="23" min="1" max="1"/>
    <col width="18" customWidth="1" style="23" min="2" max="2"/>
    <col width="38" customWidth="1" style="23" min="3" max="3"/>
    <col width="10" customWidth="1" style="23" min="4" max="4"/>
    <col width="96" customWidth="1" style="23" min="5" max="5"/>
  </cols>
  <sheetData>
    <row r="1">
      <c r="B1" s="25" t="inlineStr">
        <is>
          <t>AI Guided Search - beta search export for HMRC review</t>
        </is>
      </c>
    </row>
    <row r="2">
      <c r="B2" s="26" t="n"/>
    </row>
    <row r="4">
      <c r="B4" s="22" t="inlineStr">
        <is>
          <t>HOW THIS WORKBOOK WORKS</t>
        </is>
      </c>
    </row>
    <row r="5" ht="32" customHeight="1" s="23">
      <c r="B5" s="32" t="inlineStr">
        <is>
          <t>Each row on the Searches sheet is one journey. The Examples sheet shows what a finished review looks like.</t>
        </is>
      </c>
    </row>
    <row r="6">
      <c r="B6" s="32" t="inlineStr">
        <is>
          <t>The blue-headed columns are populated with data from real searches; the yellow ones are for classification experts to fill in. Some have dropdowns to save typing.</t>
        </is>
      </c>
    </row>
    <row r="7" ht="32" customHeight="1" s="23">
      <c r="B7" s="24" t="inlineStr">
        <is>
          <t>The Overall verdict is the one that matters most: the Summary only counts rows where it is set. Review as many or as few as you have time for.</t>
        </is>
      </c>
    </row>
    <row r="8">
      <c r="B8" s="32" t="inlineStr">
        <is>
          <t>The Summary sheet keeps score as you go. A blank percentage just means nothing is marked yet.</t>
        </is>
      </c>
    </row>
    <row r="9">
      <c r="B9" s="24" t="inlineStr">
        <is>
          <t>If the sheet feels wide, the minus button above the Q&amp;A block collapses it, and the arrows on row 2 filter.</t>
        </is>
      </c>
    </row>
    <row r="11">
      <c r="B11" s="22" t="inlineStr">
        <is>
          <t>LEGEND</t>
        </is>
      </c>
    </row>
    <row r="12">
      <c r="B12" s="2" t="inlineStr">
        <is>
          <t>Blue headers</t>
        </is>
      </c>
      <c r="C12" s="3" t="inlineStr">
        <is>
          <t>Columns filled by the export.</t>
        </is>
      </c>
    </row>
    <row r="13">
      <c r="B13" s="4" t="inlineStr">
        <is>
          <t>Yellow columns</t>
        </is>
      </c>
      <c r="C13" s="3" t="inlineStr">
        <is>
          <t>Columns for you to fill in.</t>
        </is>
      </c>
    </row>
    <row r="14">
      <c r="B14" s="5" t="inlineStr">
        <is>
          <t>Grey rows</t>
        </is>
      </c>
      <c r="C14" s="3" t="inlineStr">
        <is>
          <t>Worked examples, on the Examples sheet.</t>
        </is>
      </c>
    </row>
    <row r="16">
      <c r="B16" s="22" t="inlineStr">
        <is>
          <t>COLUMN DICTIONARY (Searches sheet)</t>
        </is>
      </c>
    </row>
    <row r="17">
      <c r="B17" s="2" t="inlineStr">
        <is>
          <t>Column</t>
        </is>
      </c>
      <c r="C17" s="2" t="inlineStr">
        <is>
          <t>Name</t>
        </is>
      </c>
      <c r="D17" s="2" t="inlineStr">
        <is>
          <t>Filled by</t>
        </is>
      </c>
      <c r="E17" s="2" t="inlineStr">
        <is>
          <t>What it contains</t>
        </is>
      </c>
    </row>
    <row r="18">
      <c r="B18" s="6" t="inlineStr">
        <is>
          <t>A</t>
        </is>
      </c>
      <c r="C18" s="6" t="inlineStr">
        <is>
          <t>Search ID</t>
        </is>
      </c>
      <c r="D18" s="6" t="inlineStr">
        <is>
          <t>Export</t>
        </is>
      </c>
      <c r="E18" s="6" t="inlineStr">
        <is>
          <t>Unique reference for the journey. Quote it when you report an issue.</t>
        </is>
      </c>
    </row>
    <row r="19">
      <c r="B19" s="6" t="inlineStr">
        <is>
          <t>B</t>
        </is>
      </c>
      <c r="C19" s="6" t="inlineStr">
        <is>
          <t>Searched term</t>
        </is>
      </c>
      <c r="D19" s="6" t="inlineStr">
        <is>
          <t>Export</t>
        </is>
      </c>
      <c r="E19" s="6" t="inlineStr">
        <is>
          <t>What the user typed, exactly as entered.</t>
        </is>
      </c>
    </row>
    <row r="20">
      <c r="B20" s="6" t="inlineStr">
        <is>
          <t>C</t>
        </is>
      </c>
      <c r="C20" s="6" t="inlineStr">
        <is>
          <t>Expansions used?</t>
        </is>
      </c>
      <c r="D20" s="6" t="inlineStr">
        <is>
          <t>Export</t>
        </is>
      </c>
      <c r="E20" s="6" t="inlineStr">
        <is>
          <t>Yes = the search also used related words the system added.</t>
        </is>
      </c>
    </row>
    <row r="21">
      <c r="B21" s="6" t="inlineStr">
        <is>
          <t>D</t>
        </is>
      </c>
      <c r="C21" s="6" t="inlineStr">
        <is>
          <t>Expansion terms</t>
        </is>
      </c>
      <c r="D21" s="6" t="inlineStr">
        <is>
          <t>Export</t>
        </is>
      </c>
      <c r="E21" s="6" t="inlineStr">
        <is>
          <t>The added words, one per line. Blank if none.</t>
        </is>
      </c>
    </row>
    <row r="22">
      <c r="B22" s="6" t="inlineStr">
        <is>
          <t>E,H,K,N,Q,T,W</t>
        </is>
      </c>
      <c r="C22" s="6" t="inlineStr">
        <is>
          <t>Q1-Q7 - Question</t>
        </is>
      </c>
      <c r="D22" s="6" t="inlineStr">
        <is>
          <t>Export</t>
        </is>
      </c>
      <c r="E22" s="6" t="inlineStr">
        <is>
          <t>The question shown. Blank = not asked.</t>
        </is>
      </c>
    </row>
    <row r="23">
      <c r="B23" s="6" t="inlineStr">
        <is>
          <t>F,I,L,O,R,U,X</t>
        </is>
      </c>
      <c r="C23" s="6" t="inlineStr">
        <is>
          <t>Q1-Q7 - Answers offered</t>
        </is>
      </c>
      <c r="D23" s="6" t="inlineStr">
        <is>
          <t>Export</t>
        </is>
      </c>
      <c r="E23" s="6" t="inlineStr">
        <is>
          <t>The options shown, one per line.</t>
        </is>
      </c>
    </row>
    <row r="24">
      <c r="B24" s="6" t="inlineStr">
        <is>
          <t>G,J,M,P,S,V,Y</t>
        </is>
      </c>
      <c r="C24" s="6" t="inlineStr">
        <is>
          <t>Q1-Q7 - Answer selected</t>
        </is>
      </c>
      <c r="D24" s="6" t="inlineStr">
        <is>
          <t>Export</t>
        </is>
      </c>
      <c r="E24" s="6" t="inlineStr">
        <is>
          <t>The option picked.</t>
        </is>
      </c>
    </row>
    <row r="25">
      <c r="B25" s="6" t="inlineStr">
        <is>
          <t>Z</t>
        </is>
      </c>
      <c r="C25" s="6" t="inlineStr">
        <is>
          <t>End page type</t>
        </is>
      </c>
      <c r="D25" s="6" t="inlineStr">
        <is>
          <t>Export</t>
        </is>
      </c>
      <c r="E25" s="6" t="inlineStr">
        <is>
          <t>The page the journey ended on: Result, Intercept, or No result.</t>
        </is>
      </c>
    </row>
    <row r="26">
      <c r="B26" s="6" t="inlineStr">
        <is>
          <t>AA</t>
        </is>
      </c>
      <c r="C26" s="6" t="inlineStr">
        <is>
          <t>Results offered</t>
        </is>
      </c>
      <c r="D26" s="6" t="inlineStr">
        <is>
          <t>Export</t>
        </is>
      </c>
      <c r="E26" s="6" t="inlineStr">
        <is>
          <t>'commodity code - description', one per line, in on-screen order.</t>
        </is>
      </c>
    </row>
    <row r="27">
      <c r="B27" s="6" t="inlineStr">
        <is>
          <t>AB</t>
        </is>
      </c>
      <c r="C27" s="6" t="inlineStr">
        <is>
          <t>Confidence labels</t>
        </is>
      </c>
      <c r="D27" s="6" t="inlineStr">
        <is>
          <t>Export</t>
        </is>
      </c>
      <c r="E27" s="6" t="inlineStr">
        <is>
          <t>One label per line (Strong, Good or Possible), aligned with Results offered. Blank when the page showed no label. Guided search has no numeric confidence score.</t>
        </is>
      </c>
    </row>
    <row r="28" ht="32" customHeight="1" s="23">
      <c r="B28" s="6" t="inlineStr">
        <is>
          <t>AC</t>
        </is>
      </c>
      <c r="C28" s="6" t="inlineStr">
        <is>
          <t>Results clicked</t>
        </is>
      </c>
      <c r="D28" s="6" t="inlineStr">
        <is>
          <t>Export</t>
        </is>
      </c>
      <c r="E28" s="6" t="inlineStr">
        <is>
          <t>The results the user opened from the results page, written as in Results offered, one per line, in click order. Blank = no result was opened.</t>
        </is>
      </c>
    </row>
    <row r="29" s="23">
      <c r="B29" s="6" t="inlineStr">
        <is>
          <t>AD</t>
        </is>
      </c>
      <c r="C29" s="6" t="inlineStr">
        <is>
          <t>Overall verdict (Good / Bad)</t>
        </is>
      </c>
      <c r="D29" s="7" t="inlineStr">
        <is>
          <t>HMRC</t>
        </is>
      </c>
      <c r="E29" s="6" t="inlineStr">
        <is>
          <t>Good or Bad. The Summary counts only rows where this is set.</t>
        </is>
      </c>
    </row>
    <row r="30" ht="32" customHeight="1" s="23">
      <c r="B30" s="6" t="inlineStr">
        <is>
          <t>AE</t>
        </is>
      </c>
      <c r="C30" s="6" t="inlineStr">
        <is>
          <t>Q&amp;A behaved correctly? (Yes / No)</t>
        </is>
      </c>
      <c r="D30" s="7" t="inlineStr">
        <is>
          <t>HMRC</t>
        </is>
      </c>
      <c r="E30" s="6" t="inlineStr">
        <is>
          <t>Yes when it asked where it should, did not ask where it should not, and the questions and answers make sense.</t>
        </is>
      </c>
    </row>
    <row r="31" s="23">
      <c r="B31" s="6" t="inlineStr">
        <is>
          <t>AF</t>
        </is>
      </c>
      <c r="C31" s="6" t="inlineStr">
        <is>
          <t>Results and confidence in line? (Yes / No)</t>
        </is>
      </c>
      <c r="D31" s="7" t="inlineStr">
        <is>
          <t>HMRC</t>
        </is>
      </c>
      <c r="E31" s="6" t="inlineStr">
        <is>
          <t>Yes when the results and their confidence scores are what you would expect.</t>
        </is>
      </c>
    </row>
    <row r="32" s="23">
      <c r="B32" s="6" t="inlineStr">
        <is>
          <t>AG</t>
        </is>
      </c>
      <c r="C32" s="6" t="inlineStr">
        <is>
          <t>Issue explanation</t>
        </is>
      </c>
      <c r="D32" s="7" t="inlineStr">
        <is>
          <t>HMRC</t>
        </is>
      </c>
      <c r="E32" s="6" t="inlineStr">
        <is>
          <t>Free text. What went wrong, if anything.</t>
        </is>
      </c>
    </row>
    <row r="33" ht="32" customHeight="1" s="23">
      <c r="B33" s="6" t="inlineStr">
        <is>
          <t>AH</t>
        </is>
      </c>
      <c r="C33" s="6" t="inlineStr">
        <is>
          <t>Missing perspective / rule</t>
        </is>
      </c>
      <c r="D33" s="7" t="inlineStr">
        <is>
          <t>HMRC</t>
        </is>
      </c>
      <c r="E33" s="6" t="inlineStr">
        <is>
          <t>The rule or perspective the system missed. If you pick 'Other' in the next column, name the source here.</t>
        </is>
      </c>
    </row>
    <row r="34" ht="32" customHeight="1" s="23">
      <c r="B34" s="6" t="inlineStr">
        <is>
          <t>AI</t>
        </is>
      </c>
      <c r="C34" s="6" t="inlineStr">
        <is>
          <t>Where would the rule be found?</t>
        </is>
      </c>
      <c r="D34" s="7" t="inlineStr">
        <is>
          <t>HMRC</t>
        </is>
      </c>
      <c r="E34" s="6" t="inlineStr">
        <is>
          <t>Chapter note, Section note, Heading terms, Explanatory notes, CDS guidance, In heads (officer knowledge), or Other.</t>
        </is>
      </c>
    </row>
  </sheetData>
  <mergeCells count="10">
    <mergeCell ref="B9:E9"/>
    <mergeCell ref="B1:E1"/>
    <mergeCell ref="B8:E8"/>
    <mergeCell ref="B4:E4"/>
    <mergeCell ref="B6:E6"/>
    <mergeCell ref="B16:E16"/>
    <mergeCell ref="B7:E7"/>
    <mergeCell ref="B11:E11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:D1"/>
    </sheetView>
  </sheetViews>
  <sheetFormatPr baseColWidth="10" defaultColWidth="8.83203125" defaultRowHeight="15"/>
  <cols>
    <col width="12" customWidth="1" style="24" min="1" max="1"/>
    <col width="30" customWidth="1" style="24" min="2" max="2"/>
    <col width="12" customWidth="1" style="24" min="3" max="3"/>
    <col width="28" customWidth="1" style="24" min="4" max="4"/>
    <col outlineLevel="1" width="32" customWidth="1" style="24" min="5" max="5"/>
    <col outlineLevel="1" width="34" customWidth="1" style="24" min="6" max="6"/>
    <col outlineLevel="1" width="22" customWidth="1" style="24" min="7" max="7"/>
    <col outlineLevel="1" width="32" customWidth="1" style="24" min="8" max="8"/>
    <col outlineLevel="1" width="34" customWidth="1" style="24" min="9" max="9"/>
    <col outlineLevel="1" width="22" customWidth="1" style="24" min="10" max="10"/>
    <col outlineLevel="1" width="32" customWidth="1" style="24" min="11" max="11"/>
    <col outlineLevel="1" width="34" customWidth="1" style="24" min="12" max="12"/>
    <col outlineLevel="1" width="22" customWidth="1" style="24" min="13" max="13"/>
    <col outlineLevel="1" width="32" customWidth="1" style="24" min="14" max="14"/>
    <col outlineLevel="1" width="34" customWidth="1" style="24" min="15" max="15"/>
    <col outlineLevel="1" width="22" customWidth="1" style="24" min="16" max="16"/>
    <col outlineLevel="1" width="32" customWidth="1" style="24" min="17" max="17"/>
    <col outlineLevel="1" width="34" customWidth="1" style="24" min="18" max="18"/>
    <col outlineLevel="1" width="22" customWidth="1" style="24" min="19" max="19"/>
    <col outlineLevel="1" width="32" customWidth="1" style="24" min="20" max="20"/>
    <col outlineLevel="1" width="34" customWidth="1" style="24" min="21" max="21"/>
    <col outlineLevel="1" width="22" customWidth="1" style="24" min="22" max="22"/>
    <col outlineLevel="1" width="32" customWidth="1" style="24" min="23" max="23"/>
    <col outlineLevel="1" width="34" customWidth="1" style="24" min="24" max="24"/>
    <col outlineLevel="1" width="22" customWidth="1" style="24" min="25" max="25"/>
    <col width="14" customWidth="1" style="24" min="26" max="26"/>
    <col width="50" customWidth="1" style="24" min="27" max="27"/>
    <col width="14" customWidth="1" style="24" min="28" max="28"/>
    <col width="50" customWidth="1" style="24" min="29" max="29"/>
    <col width="14" customWidth="1" style="8" min="30" max="30"/>
    <col width="16" customWidth="1" style="8" min="31" max="31"/>
    <col width="16" customWidth="1" style="8" min="32" max="32"/>
    <col width="40" customWidth="1" style="8" min="33" max="33"/>
    <col width="40" customWidth="1" style="8" min="34" max="34"/>
    <col width="20" customWidth="1" style="8" min="35" max="35"/>
  </cols>
  <sheetData>
    <row r="1" ht="20" customHeight="1" s="23">
      <c r="A1" s="27" t="inlineStr">
        <is>
          <t>SEARCH INPUT</t>
        </is>
      </c>
      <c r="B1" s="33" t="n"/>
      <c r="C1" s="33" t="n"/>
      <c r="D1" s="34" t="n"/>
      <c r="E1" s="27" t="inlineStr">
        <is>
          <t>Q&amp;A JOURNEY (UP TO 7 QUESTIONS)</t>
        </is>
      </c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4" t="n"/>
      <c r="Z1" s="27" t="inlineStr">
        <is>
          <t>RESULT</t>
        </is>
      </c>
      <c r="AA1" s="33" t="n"/>
      <c r="AB1" s="33" t="n"/>
      <c r="AC1" s="34" t="n"/>
      <c r="AD1" s="29" t="inlineStr">
        <is>
          <t>HMRC REVIEW - FILL IN THE YELLOW COLUMNS</t>
        </is>
      </c>
      <c r="AE1" s="33" t="n"/>
      <c r="AF1" s="33" t="n"/>
      <c r="AG1" s="33" t="n"/>
      <c r="AH1" s="33" t="n"/>
      <c r="AI1" s="34" t="n"/>
    </row>
    <row r="2" ht="56" customHeight="1" s="23">
      <c r="A2" s="10" t="inlineStr">
        <is>
          <t>Search ID</t>
        </is>
      </c>
      <c r="B2" s="10" t="inlineStr">
        <is>
          <t>Searched term</t>
        </is>
      </c>
      <c r="C2" s="10" t="inlineStr">
        <is>
          <t>Expansions used?</t>
        </is>
      </c>
      <c r="D2" s="10" t="inlineStr">
        <is>
          <t>Expansion terms</t>
        </is>
      </c>
      <c r="E2" s="10" t="inlineStr">
        <is>
          <t>Q1 - Question</t>
        </is>
      </c>
      <c r="F2" s="10" t="inlineStr">
        <is>
          <t>Q1 - Answers offered</t>
        </is>
      </c>
      <c r="G2" s="10" t="inlineStr">
        <is>
          <t>Q1 - Answer selected</t>
        </is>
      </c>
      <c r="H2" s="10" t="inlineStr">
        <is>
          <t>Q2 - Question</t>
        </is>
      </c>
      <c r="I2" s="10" t="inlineStr">
        <is>
          <t>Q2 - Answers offered</t>
        </is>
      </c>
      <c r="J2" s="10" t="inlineStr">
        <is>
          <t>Q2 - Answer selected</t>
        </is>
      </c>
      <c r="K2" s="10" t="inlineStr">
        <is>
          <t>Q3 - Question</t>
        </is>
      </c>
      <c r="L2" s="10" t="inlineStr">
        <is>
          <t>Q3 - Answers offered</t>
        </is>
      </c>
      <c r="M2" s="10" t="inlineStr">
        <is>
          <t>Q3 - Answer selected</t>
        </is>
      </c>
      <c r="N2" s="10" t="inlineStr">
        <is>
          <t>Q4 - Question</t>
        </is>
      </c>
      <c r="O2" s="10" t="inlineStr">
        <is>
          <t>Q4 - Answers offered</t>
        </is>
      </c>
      <c r="P2" s="10" t="inlineStr">
        <is>
          <t>Q4 - Answer selected</t>
        </is>
      </c>
      <c r="Q2" s="10" t="inlineStr">
        <is>
          <t>Q5 - Question</t>
        </is>
      </c>
      <c r="R2" s="10" t="inlineStr">
        <is>
          <t>Q5 - Answers offered</t>
        </is>
      </c>
      <c r="S2" s="10" t="inlineStr">
        <is>
          <t>Q5 - Answer selected</t>
        </is>
      </c>
      <c r="T2" s="10" t="inlineStr">
        <is>
          <t>Q6 - Question</t>
        </is>
      </c>
      <c r="U2" s="10" t="inlineStr">
        <is>
          <t>Q6 - Answers offered</t>
        </is>
      </c>
      <c r="V2" s="10" t="inlineStr">
        <is>
          <t>Q6 - Answer selected</t>
        </is>
      </c>
      <c r="W2" s="10" t="inlineStr">
        <is>
          <t>Q7 - Question</t>
        </is>
      </c>
      <c r="X2" s="10" t="inlineStr">
        <is>
          <t>Q7 - Answers offered</t>
        </is>
      </c>
      <c r="Y2" s="10" t="inlineStr">
        <is>
          <t>Q7 - Answer selected</t>
        </is>
      </c>
      <c r="Z2" s="10" t="inlineStr">
        <is>
          <t>End page type</t>
        </is>
      </c>
      <c r="AA2" s="10" t="inlineStr">
        <is>
          <t>Results offered</t>
        </is>
      </c>
      <c r="AB2" s="10" t="inlineStr">
        <is>
          <t>Confidence labels</t>
        </is>
      </c>
      <c r="AC2" s="10" t="inlineStr">
        <is>
          <t>Results clicked</t>
        </is>
      </c>
      <c r="AD2" s="29" t="inlineStr">
        <is>
          <t>Overall verdict (Good / Bad)</t>
        </is>
      </c>
      <c r="AE2" s="29" t="inlineStr">
        <is>
          <t>Q&amp;A behaved correctly? (Yes / No)</t>
        </is>
      </c>
      <c r="AF2" s="29" t="inlineStr">
        <is>
          <t>Results and confidence in line? (Yes / No)</t>
        </is>
      </c>
      <c r="AG2" s="29" t="inlineStr">
        <is>
          <t>Issue explanation</t>
        </is>
      </c>
      <c r="AH2" s="29" t="inlineStr">
        <is>
          <t>Missing perspective / rule</t>
        </is>
      </c>
      <c r="AI2" s="29" t="inlineStr">
        <is>
          <t>Where would the rule be found?</t>
        </is>
      </c>
    </row>
  </sheetData>
  <autoFilter ref="A2:AI1048576"/>
  <mergeCells count="4">
    <mergeCell ref="A1:D1"/>
    <mergeCell ref="AD1:AI1"/>
    <mergeCell ref="Z1:AC1"/>
    <mergeCell ref="E1:Y1"/>
  </mergeCells>
  <dataValidations count="4">
    <dataValidation sqref="C3:C1048576 AE3:AF1048576" showDropDown="0" showInputMessage="0" showErrorMessage="0" allowBlank="1" type="list">
      <formula1>"Yes,No"</formula1>
    </dataValidation>
    <dataValidation sqref="Z3:Z1048576" showDropDown="0" showInputMessage="0" showErrorMessage="0" allowBlank="1" type="list">
      <formula1>"Result,Intercept,No result"</formula1>
    </dataValidation>
    <dataValidation sqref="AD3:AD1048576" showDropDown="0" showInputMessage="0" showErrorMessage="0" allowBlank="1" type="list">
      <formula1>"Good,Bad"</formula1>
    </dataValidation>
    <dataValidation sqref="AI3:AI1048576" showDropDown="0" showInputMessage="0" showErrorMessage="0" allowBlank="1" type="list">
      <formula1>"Chapter note,Section note,Heading terms,Explanatory notes,CDS guidance,In heads,Other"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:D1"/>
    </sheetView>
  </sheetViews>
  <sheetFormatPr baseColWidth="10" defaultColWidth="8.83203125" defaultRowHeight="15"/>
  <cols>
    <col width="12" customWidth="1" style="23" min="1" max="1"/>
    <col width="30" customWidth="1" style="23" min="2" max="2"/>
    <col width="12" customWidth="1" style="23" min="3" max="3"/>
    <col width="28" customWidth="1" style="23" min="4" max="4"/>
    <col width="32" customWidth="1" style="23" min="5" max="5"/>
    <col width="34" customWidth="1" style="23" min="6" max="6"/>
    <col width="22" customWidth="1" style="23" min="7" max="7"/>
    <col width="32" customWidth="1" style="23" min="8" max="8"/>
    <col width="34" customWidth="1" style="23" min="9" max="9"/>
    <col width="22" customWidth="1" style="23" min="10" max="10"/>
    <col width="32" customWidth="1" style="23" min="11" max="11"/>
    <col width="34" customWidth="1" style="23" min="12" max="12"/>
    <col width="22" customWidth="1" style="23" min="13" max="13"/>
    <col width="32" customWidth="1" style="23" min="14" max="14"/>
    <col width="34" customWidth="1" style="23" min="15" max="15"/>
    <col width="22" customWidth="1" style="23" min="16" max="16"/>
    <col width="32" customWidth="1" style="23" min="17" max="17"/>
    <col width="34" customWidth="1" style="23" min="18" max="18"/>
    <col width="22" customWidth="1" style="23" min="19" max="19"/>
    <col width="32" customWidth="1" style="23" min="20" max="20"/>
    <col width="34" customWidth="1" style="23" min="21" max="21"/>
    <col width="22" customWidth="1" style="23" min="22" max="22"/>
    <col width="32" customWidth="1" style="23" min="23" max="23"/>
    <col width="34" customWidth="1" style="23" min="24" max="24"/>
    <col width="22" customWidth="1" style="23" min="25" max="25"/>
    <col width="14" customWidth="1" style="23" min="26" max="26"/>
    <col width="50" customWidth="1" style="23" min="27" max="27"/>
    <col width="14" customWidth="1" style="23" min="28" max="28"/>
    <col width="50" customWidth="1" style="23" min="29" max="29"/>
    <col width="14" customWidth="1" style="23" min="30" max="30"/>
    <col width="16" customWidth="1" style="23" min="31" max="31"/>
    <col width="16" customWidth="1" style="23" min="32" max="32"/>
    <col width="40" customWidth="1" style="23" min="33" max="33"/>
    <col width="40" customWidth="1" style="23" min="34" max="34"/>
    <col width="20" customWidth="1" style="23" min="35" max="35"/>
  </cols>
  <sheetData>
    <row r="1" ht="20" customHeight="1" s="23">
      <c r="A1" s="27" t="inlineStr">
        <is>
          <t>SEARCH INPUT</t>
        </is>
      </c>
      <c r="B1" s="33" t="n"/>
      <c r="C1" s="33" t="n"/>
      <c r="D1" s="34" t="n"/>
      <c r="E1" s="27" t="inlineStr">
        <is>
          <t>Q&amp;A JOURNEY (UP TO 7 QUESTIONS)</t>
        </is>
      </c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4" t="n"/>
      <c r="Z1" s="27" t="inlineStr">
        <is>
          <t>RESULT</t>
        </is>
      </c>
      <c r="AA1" s="33" t="n"/>
      <c r="AB1" s="33" t="n"/>
      <c r="AC1" s="34" t="n"/>
      <c r="AD1" s="29" t="inlineStr">
        <is>
          <t>HMRC REVIEW - WORKED EXAMPLE, DO NOT EDIT</t>
        </is>
      </c>
      <c r="AE1" s="33" t="n"/>
      <c r="AF1" s="33" t="n"/>
      <c r="AG1" s="33" t="n"/>
      <c r="AH1" s="33" t="n"/>
      <c r="AI1" s="34" t="n"/>
    </row>
    <row r="2" ht="56" customHeight="1" s="23">
      <c r="A2" s="10" t="inlineStr">
        <is>
          <t>Search ID</t>
        </is>
      </c>
      <c r="B2" s="10" t="inlineStr">
        <is>
          <t>Searched term</t>
        </is>
      </c>
      <c r="C2" s="10" t="inlineStr">
        <is>
          <t>Expansions used?</t>
        </is>
      </c>
      <c r="D2" s="10" t="inlineStr">
        <is>
          <t>Expansion terms</t>
        </is>
      </c>
      <c r="E2" s="10" t="inlineStr">
        <is>
          <t>Q1 - Question</t>
        </is>
      </c>
      <c r="F2" s="10" t="inlineStr">
        <is>
          <t>Q1 - Answers offered</t>
        </is>
      </c>
      <c r="G2" s="10" t="inlineStr">
        <is>
          <t>Q1 - Answer selected</t>
        </is>
      </c>
      <c r="H2" s="10" t="inlineStr">
        <is>
          <t>Q2 - Question</t>
        </is>
      </c>
      <c r="I2" s="10" t="inlineStr">
        <is>
          <t>Q2 - Answers offered</t>
        </is>
      </c>
      <c r="J2" s="10" t="inlineStr">
        <is>
          <t>Q2 - Answer selected</t>
        </is>
      </c>
      <c r="K2" s="10" t="inlineStr">
        <is>
          <t>Q3 - Question</t>
        </is>
      </c>
      <c r="L2" s="10" t="inlineStr">
        <is>
          <t>Q3 - Answers offered</t>
        </is>
      </c>
      <c r="M2" s="10" t="inlineStr">
        <is>
          <t>Q3 - Answer selected</t>
        </is>
      </c>
      <c r="N2" s="10" t="inlineStr">
        <is>
          <t>Q4 - Question</t>
        </is>
      </c>
      <c r="O2" s="10" t="inlineStr">
        <is>
          <t>Q4 - Answers offered</t>
        </is>
      </c>
      <c r="P2" s="10" t="inlineStr">
        <is>
          <t>Q4 - Answer selected</t>
        </is>
      </c>
      <c r="Q2" s="10" t="inlineStr">
        <is>
          <t>Q5 - Question</t>
        </is>
      </c>
      <c r="R2" s="10" t="inlineStr">
        <is>
          <t>Q5 - Answers offered</t>
        </is>
      </c>
      <c r="S2" s="10" t="inlineStr">
        <is>
          <t>Q5 - Answer selected</t>
        </is>
      </c>
      <c r="T2" s="10" t="inlineStr">
        <is>
          <t>Q6 - Question</t>
        </is>
      </c>
      <c r="U2" s="10" t="inlineStr">
        <is>
          <t>Q6 - Answers offered</t>
        </is>
      </c>
      <c r="V2" s="10" t="inlineStr">
        <is>
          <t>Q6 - Answer selected</t>
        </is>
      </c>
      <c r="W2" s="10" t="inlineStr">
        <is>
          <t>Q7 - Question</t>
        </is>
      </c>
      <c r="X2" s="10" t="inlineStr">
        <is>
          <t>Q7 - Answers offered</t>
        </is>
      </c>
      <c r="Y2" s="10" t="inlineStr">
        <is>
          <t>Q7 - Answer selected</t>
        </is>
      </c>
      <c r="Z2" s="10" t="inlineStr">
        <is>
          <t>End page type</t>
        </is>
      </c>
      <c r="AA2" s="10" t="inlineStr">
        <is>
          <t>Results offered</t>
        </is>
      </c>
      <c r="AB2" s="10" t="inlineStr">
        <is>
          <t>Confidence labels</t>
        </is>
      </c>
      <c r="AC2" s="10" t="inlineStr">
        <is>
          <t>Results clicked</t>
        </is>
      </c>
      <c r="AD2" s="29" t="inlineStr">
        <is>
          <t>Overall verdict (Good / Bad)</t>
        </is>
      </c>
      <c r="AE2" s="29" t="inlineStr">
        <is>
          <t>Q&amp;A behaved correctly? (Yes / No)</t>
        </is>
      </c>
      <c r="AF2" s="29" t="inlineStr">
        <is>
          <t>Results and confidence in line? (Yes / No)</t>
        </is>
      </c>
      <c r="AG2" s="29" t="inlineStr">
        <is>
          <t>Issue explanation</t>
        </is>
      </c>
      <c r="AH2" s="29" t="inlineStr">
        <is>
          <t>Missing perspective / rule</t>
        </is>
      </c>
      <c r="AI2" s="29" t="inlineStr">
        <is>
          <t>Where would the rule be found?</t>
        </is>
      </c>
    </row>
    <row r="3" ht="60" customHeight="1" s="23">
      <c r="A3" s="11" t="inlineStr">
        <is>
          <t>EXAMPLE-001</t>
        </is>
      </c>
      <c r="B3" s="11" t="inlineStr">
        <is>
          <t>frozen chicken breast fillets</t>
        </is>
      </c>
      <c r="C3" s="11" t="inlineStr">
        <is>
          <t>Yes</t>
        </is>
      </c>
      <c r="D3" s="11" t="inlineStr">
        <is>
          <t>poultry meat
chicken cuts, frozen</t>
        </is>
      </c>
      <c r="E3" s="11" t="inlineStr">
        <is>
          <t>Is the chicken meat boneless or bone-in?</t>
        </is>
      </c>
      <c r="F3" s="11" t="inlineStr">
        <is>
          <t>Boneless
Bone-in</t>
        </is>
      </c>
      <c r="G3" s="11" t="inlineStr">
        <is>
          <t>Boneless</t>
        </is>
      </c>
      <c r="H3" s="11" t="inlineStr">
        <is>
          <t>How is the product prepared?</t>
        </is>
      </c>
      <c r="I3" s="11" t="inlineStr">
        <is>
          <t>Raw
Cooked
Seasoned or marinated</t>
        </is>
      </c>
      <c r="J3" s="11" t="inlineStr">
        <is>
          <t>Raw</t>
        </is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inlineStr">
        <is>
          <t>Result</t>
        </is>
      </c>
      <c r="AA3" s="11" t="inlineStr">
        <is>
          <t>0207141000 - Frozen boneless cuts of fowl of the species Gallus domesticus
0207149900 - Frozen edible offal of fowl of the species Gallus domesticus</t>
        </is>
      </c>
      <c r="AB3" s="11" t="inlineStr">
        <is>
          <t>Strong
Possible</t>
        </is>
      </c>
      <c r="AC3" s="11" t="inlineStr">
        <is>
          <t>0207141000 - Frozen boneless cuts of fowl of the species Gallus domesticus</t>
        </is>
      </c>
      <c r="AD3" s="12" t="inlineStr">
        <is>
          <t>Good</t>
        </is>
      </c>
      <c r="AE3" s="12" t="inlineStr">
        <is>
          <t>Yes</t>
        </is>
      </c>
      <c r="AF3" s="12" t="inlineStr">
        <is>
          <t>Yes</t>
        </is>
      </c>
      <c r="AG3" s="12" t="n"/>
      <c r="AH3" s="12" t="n"/>
      <c r="AI3" s="12" t="n"/>
    </row>
    <row r="4" ht="60" customHeight="1" s="23">
      <c r="A4" s="11" t="inlineStr">
        <is>
          <t>EXAMPLE-002</t>
        </is>
      </c>
      <c r="B4" s="11" t="inlineStr">
        <is>
          <t>drone</t>
        </is>
      </c>
      <c r="C4" s="11" t="inlineStr">
        <is>
          <t>No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inlineStr">
        <is>
          <t>Result</t>
        </is>
      </c>
      <c r="AA4" s="11" t="inlineStr">
        <is>
          <t>9503009990 - Other toys, put up in sets or outfits</t>
        </is>
      </c>
      <c r="AB4" s="11" t="inlineStr">
        <is>
          <t>Good</t>
        </is>
      </c>
      <c r="AC4" s="11" t="inlineStr">
        <is>
          <t>9503009990 - Other toys, put up in sets or outfits</t>
        </is>
      </c>
      <c r="AD4" s="12" t="inlineStr">
        <is>
          <t>Bad</t>
        </is>
      </c>
      <c r="AE4" s="12" t="inlineStr">
        <is>
          <t>No</t>
        </is>
      </c>
      <c r="AF4" s="12" t="inlineStr">
        <is>
          <t>No</t>
        </is>
      </c>
      <c r="AG4" s="12" t="inlineStr">
        <is>
          <t>No questions were asked. A drone's classification depends on its weight and whether it has a camera, so it should have asked.</t>
        </is>
      </c>
      <c r="AH4" s="12" t="inlineStr">
        <is>
          <t>Unmanned aircraft belong in heading 8806 unless they are toy-grade.</t>
        </is>
      </c>
      <c r="AI4" s="12" t="inlineStr">
        <is>
          <t>Heading terms</t>
        </is>
      </c>
    </row>
    <row r="6">
      <c r="A6" s="31" t="inlineStr">
        <is>
          <t>Worked examples only. Live data goes on the Searches sheet, which starts empty.</t>
        </is>
      </c>
    </row>
  </sheetData>
  <mergeCells count="5">
    <mergeCell ref="A1:D1"/>
    <mergeCell ref="AD1:AI1"/>
    <mergeCell ref="E1:Y1"/>
    <mergeCell ref="A6:L6"/>
    <mergeCell ref="Z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tabSelected="1" workbookViewId="0">
      <selection activeCell="A1" sqref="A1"/>
    </sheetView>
  </sheetViews>
  <sheetFormatPr baseColWidth="10" defaultColWidth="8.83203125" defaultRowHeight="15"/>
  <cols>
    <col width="48" customWidth="1" style="23" min="1" max="1"/>
    <col width="12" customWidth="1" style="23" min="2" max="2"/>
    <col width="64" customWidth="1" style="23" min="3" max="3"/>
  </cols>
  <sheetData>
    <row r="1" ht="18" customHeight="1" s="23">
      <c r="A1" s="13" t="inlineStr">
        <is>
          <t>AI Guided Search - beta review summary</t>
        </is>
      </c>
    </row>
    <row r="2">
      <c r="A2" s="14" t="inlineStr">
        <is>
          <t>Each block names the rows it counts. Percentages use only the rows you have marked; blank means nothing is marked yet.</t>
        </is>
      </c>
    </row>
    <row r="3"/>
    <row r="4">
      <c r="A4" s="15" t="inlineStr">
        <is>
          <t>REVIEW PROGRESS</t>
        </is>
      </c>
    </row>
    <row r="5">
      <c r="A5" s="3" t="inlineStr">
        <is>
          <t>Searches in the sheet</t>
        </is>
      </c>
      <c r="B5" s="16">
        <f>COUNTA(Searches!$A$3:$A$1048576)</f>
        <v/>
      </c>
      <c r="C5" s="17" t="inlineStr">
        <is>
          <t>All rows with a Search ID.</t>
        </is>
      </c>
    </row>
    <row r="6">
      <c r="A6" s="18" t="inlineStr">
        <is>
          <t>Searches reviewed</t>
        </is>
      </c>
      <c r="B6" s="19">
        <f>COUNTIFS(Searches!$A$3:$A$1048576,"&lt;&gt;",Searches!$AD$3:$AD$1048576,"Good")+COUNTIFS(Searches!$A$3:$A$1048576,"&lt;&gt;",Searches!$AD$3:$AD$1048576,"Bad")</f>
        <v/>
      </c>
      <c r="C6" s="17" t="inlineStr">
        <is>
          <t>Rows with a Search ID and an Overall verdict.</t>
        </is>
      </c>
    </row>
    <row r="7">
      <c r="A7" s="3" t="inlineStr">
        <is>
          <t>Share reviewed</t>
        </is>
      </c>
      <c r="B7" s="20">
        <f>IFERROR(B6/(B5),"")</f>
        <v/>
      </c>
    </row>
    <row r="8"/>
    <row r="9">
      <c r="A9" s="15" t="inlineStr">
        <is>
          <t>OVERALL VERDICT (rows with a verdict)</t>
        </is>
      </c>
    </row>
    <row r="10">
      <c r="A10" s="3" t="inlineStr">
        <is>
          <t>Good</t>
        </is>
      </c>
      <c r="B10" s="16">
        <f>COUNTIFS(Searches!$A$3:$A$1048576,"&lt;&gt;",Searches!$AD$3:$AD$1048576,"Good")</f>
        <v/>
      </c>
    </row>
    <row r="11">
      <c r="A11" s="3" t="inlineStr">
        <is>
          <t>Bad</t>
        </is>
      </c>
      <c r="B11" s="16">
        <f>COUNTIFS(Searches!$A$3:$A$1048576,"&lt;&gt;",Searches!$AD$3:$AD$1048576,"Bad")</f>
        <v/>
      </c>
    </row>
    <row r="12">
      <c r="A12" s="18" t="inlineStr">
        <is>
          <t>Share good</t>
        </is>
      </c>
      <c r="B12" s="21">
        <f>IFERROR(B10/($B$6),"")</f>
        <v/>
      </c>
      <c r="C12" s="17" t="inlineStr">
        <is>
          <t>Good as a share of reviewed rows.</t>
        </is>
      </c>
    </row>
    <row r="13"/>
    <row r="14">
      <c r="A14" s="15" t="inlineStr">
        <is>
          <t>CHECKS (Yes as a share of Yes+No answers)</t>
        </is>
      </c>
    </row>
    <row r="15">
      <c r="A15" s="3" t="inlineStr">
        <is>
          <t>Q&amp;A behaved correctly</t>
        </is>
      </c>
      <c r="B15" s="20">
        <f>IFERROR(COUNTIFS(Searches!$A$3:$A$1048576,"&lt;&gt;",Searches!$AE$3:$AE$1048576,"Yes")/(COUNTIFS(Searches!$A$3:$A$1048576,"&lt;&gt;",Searches!$AE$3:$AE$1048576,"Yes")+COUNTIFS(Searches!$A$3:$A$1048576,"&lt;&gt;",Searches!$AE$3:$AE$1048576,"No")),"")</f>
        <v/>
      </c>
    </row>
    <row r="16">
      <c r="A16" s="3" t="inlineStr">
        <is>
          <t>Results and confidence in line</t>
        </is>
      </c>
      <c r="B16" s="20">
        <f>IFERROR(COUNTIFS(Searches!$A$3:$A$1048576,"&lt;&gt;",Searches!$AF$3:$AF$1048576,"Yes")/(COUNTIFS(Searches!$A$3:$A$1048576,"&lt;&gt;",Searches!$AF$3:$AF$1048576,"Yes")+COUNTIFS(Searches!$A$3:$A$1048576,"&lt;&gt;",Searches!$AF$3:$AF$1048576,"No")),"")</f>
        <v/>
      </c>
    </row>
    <row r="17"/>
    <row r="18">
      <c r="A18" s="15" t="inlineStr">
        <is>
          <t>EXPANSIONS AND OUTCOMES (rows with a verdict)</t>
        </is>
      </c>
    </row>
    <row r="19">
      <c r="A19" s="3" t="inlineStr">
        <is>
          <t>With expansions - Good</t>
        </is>
      </c>
      <c r="B19" s="16">
        <f>COUNTIFS(Searches!$A$3:$A$1048576,"&lt;&gt;",Searches!$C$3:$C$1048576,"Yes",Searches!$AD$3:$AD$1048576,"Good")</f>
        <v/>
      </c>
    </row>
    <row r="20">
      <c r="A20" s="3" t="inlineStr">
        <is>
          <t>With expansions - Bad</t>
        </is>
      </c>
      <c r="B20" s="16">
        <f>COUNTIFS(Searches!$A$3:$A$1048576,"&lt;&gt;",Searches!$C$3:$C$1048576,"Yes",Searches!$AD$3:$AD$1048576,"Bad")</f>
        <v/>
      </c>
    </row>
    <row r="21">
      <c r="A21" s="18" t="inlineStr">
        <is>
          <t>With expansions - share good</t>
        </is>
      </c>
      <c r="B21" s="21">
        <f>IFERROR(B19/(B19+B20),"")</f>
        <v/>
      </c>
    </row>
    <row r="22">
      <c r="A22" s="3" t="inlineStr">
        <is>
          <t>Without expansions - Good</t>
        </is>
      </c>
      <c r="B22" s="16">
        <f>COUNTIFS(Searches!$A$3:$A$1048576,"&lt;&gt;",Searches!$C$3:$C$1048576,"No",Searches!$AD$3:$AD$1048576,"Good")</f>
        <v/>
      </c>
    </row>
    <row r="23">
      <c r="A23" s="3" t="inlineStr">
        <is>
          <t>Without expansions - Bad</t>
        </is>
      </c>
      <c r="B23" s="16">
        <f>COUNTIFS(Searches!$A$3:$A$1048576,"&lt;&gt;",Searches!$C$3:$C$1048576,"No",Searches!$AD$3:$AD$1048576,"Bad")</f>
        <v/>
      </c>
    </row>
    <row r="24">
      <c r="A24" s="18" t="inlineStr">
        <is>
          <t>Without expansions - share good</t>
        </is>
      </c>
      <c r="B24" s="21">
        <f>IFERROR(B22/(B22+B23),"")</f>
        <v/>
      </c>
    </row>
    <row r="25"/>
    <row r="26">
      <c r="A26" s="15" t="inlineStr">
        <is>
          <t>END PAGE TYPES (all exported rows)</t>
        </is>
      </c>
    </row>
    <row r="27">
      <c r="A27" s="3" t="inlineStr">
        <is>
          <t>Result</t>
        </is>
      </c>
      <c r="B27" s="16">
        <f>COUNTIFS(Searches!$A$3:$A$1048576,"&lt;&gt;",Searches!$Z$3:$Z$1048576,"Result")</f>
        <v/>
      </c>
    </row>
    <row r="28">
      <c r="A28" s="3" t="inlineStr">
        <is>
          <t>Intercept</t>
        </is>
      </c>
      <c r="B28" s="16">
        <f>COUNTIFS(Searches!$A$3:$A$1048576,"&lt;&gt;",Searches!$Z$3:$Z$1048576,"Intercept")</f>
        <v/>
      </c>
    </row>
    <row r="29">
      <c r="A29" s="3" t="inlineStr">
        <is>
          <t>No result</t>
        </is>
      </c>
      <c r="B29" s="16">
        <f>COUNTIFS(Searches!$A$3:$A$1048576,"&lt;&gt;",Searches!$Z$3:$Z$1048576,"No result")</f>
        <v/>
      </c>
    </row>
    <row r="30"/>
    <row r="31">
      <c r="A31" s="15" t="inlineStr">
        <is>
          <t>MISSING RULE LOCATIONS (rows with a location picked)</t>
        </is>
      </c>
    </row>
    <row r="32">
      <c r="A32" s="3" t="inlineStr">
        <is>
          <t>Chapter note</t>
        </is>
      </c>
      <c r="B32" s="16">
        <f>COUNTIFS(Searches!$A$3:$A$1048576,"&lt;&gt;",Searches!$AI$3:$AI$1048576,"Chapter note")</f>
        <v/>
      </c>
    </row>
    <row r="33">
      <c r="A33" s="3" t="inlineStr">
        <is>
          <t>Section note</t>
        </is>
      </c>
      <c r="B33" s="16">
        <f>COUNTIFS(Searches!$A$3:$A$1048576,"&lt;&gt;",Searches!$AI$3:$AI$1048576,"Section note")</f>
        <v/>
      </c>
    </row>
    <row r="34">
      <c r="A34" s="3" t="inlineStr">
        <is>
          <t>Heading terms</t>
        </is>
      </c>
      <c r="B34" s="16">
        <f>COUNTIFS(Searches!$A$3:$A$1048576,"&lt;&gt;",Searches!$AI$3:$AI$1048576,"Heading terms")</f>
        <v/>
      </c>
    </row>
    <row r="35">
      <c r="A35" s="3" t="inlineStr">
        <is>
          <t>Explanatory notes</t>
        </is>
      </c>
      <c r="B35" s="16">
        <f>COUNTIFS(Searches!$A$3:$A$1048576,"&lt;&gt;",Searches!$AI$3:$AI$1048576,"Explanatory notes")</f>
        <v/>
      </c>
    </row>
    <row r="36">
      <c r="A36" s="3" t="inlineStr">
        <is>
          <t>CDS guidance</t>
        </is>
      </c>
      <c r="B36" s="16">
        <f>COUNTIFS(Searches!$A$3:$A$1048576,"&lt;&gt;",Searches!$AI$3:$AI$1048576,"CDS guidance")</f>
        <v/>
      </c>
    </row>
    <row r="37">
      <c r="A37" s="3" t="inlineStr">
        <is>
          <t>In heads</t>
        </is>
      </c>
      <c r="B37" s="16">
        <f>COUNTIFS(Searches!$A$3:$A$1048576,"&lt;&gt;",Searches!$AI$3:$AI$1048576,"In heads")</f>
        <v/>
      </c>
    </row>
    <row r="38">
      <c r="A38" s="3" t="inlineStr">
        <is>
          <t>Other</t>
        </is>
      </c>
      <c r="B38" s="16">
        <f>COUNTIFS(Searches!$A$3:$A$1048576,"&lt;&gt;",Searches!$AI$3:$AI$1048576,"Other")</f>
        <v/>
      </c>
    </row>
    <row r="40">
      <c r="A40" s="15" t="inlineStr">
        <is>
          <t>RESULT CLICKS (rows that ended on a Result page)</t>
        </is>
      </c>
    </row>
    <row r="41">
      <c r="A41" s="3" t="inlineStr">
        <is>
          <t>With a result clicked</t>
        </is>
      </c>
      <c r="B41" s="16">
        <f>COUNTIFS(Searches!$A$3:$A$1048576,"&lt;&gt;",Searches!$Z$3:$Z$1048576,"Result",Searches!$AC$3:$AC$1048576,"&lt;&gt;")</f>
        <v/>
      </c>
    </row>
    <row r="42">
      <c r="A42" s="3" t="inlineStr">
        <is>
          <t>Without a result clicked</t>
        </is>
      </c>
      <c r="B42" s="16">
        <f>B27-B41</f>
        <v/>
      </c>
    </row>
    <row r="43">
      <c r="A43" s="3" t="inlineStr">
        <is>
          <t>Share with a result clicked</t>
        </is>
      </c>
      <c r="B43" s="20">
        <f>IFERROR(B41/(B27),"")</f>
        <v/>
      </c>
      <c r="C43" t="inlineStr">
        <is>
          <t>A click shows which result the user opened. It does not show that the result is correct.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2026-09-03T13:48:11Z</dcterms:created>
  <dcterms:modified xmlns:dcterms="http://purl.org/dc/terms/" xmlns:xsi="http://www.w3.org/2001/XMLSchema-instance" xsi:type="dcterms:W3CDTF">2026-09-17T11:17:22Z</dcterms:modified>
  <cp:lastModifiedBy>Gabriel Dragusin</cp:lastModifiedBy>
</cp:coreProperties>
</file>